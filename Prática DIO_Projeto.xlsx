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FDFCF0-E98A-4400-B17E-A857C1C299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mulador Fundo_Investimentos" sheetId="1" r:id="rId1"/>
    <sheet name="Tabela_Apoio" sheetId="2" r:id="rId2"/>
  </sheets>
  <definedNames>
    <definedName name="aporte">'Simulador Fundo_Investimentos'!$E$17:$E$17</definedName>
    <definedName name="div_mensais">'Simulador Fundo_Investimentos'!$E$21:$E$21</definedName>
    <definedName name="patrimonio">'Simulador Fundo_Investimentos'!$E$20:$E$20</definedName>
    <definedName name="rend_carteira">'Simulador Fundo_Investimentos'!$E$12:$E$12</definedName>
    <definedName name="rend_mensal">'Simulador Fundo_Investimentos'!$E$19:$E$19</definedName>
    <definedName name="salario">'Simulador Fundo_Investimentos'!$E$11:$E$11</definedName>
    <definedName name="sug_inves">'Simulador Fundo_Investimentos'!$E$13:$E$13</definedName>
    <definedName name="tempo">'Simulador Fundo_Investimentos'!$E$18:$E$18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6" i="2" l="1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E31" i="1" a="1"/>
  <c r="E31" i="1"/>
  <c r="E20" i="1" a="1"/>
  <c r="E20" i="1"/>
  <c r="E21" i="1" s="1" a="1"/>
  <c r="E21" i="1" s="1"/>
  <c r="E13" i="1"/>
  <c r="D28" i="1"/>
  <c r="E28" i="1" s="1" a="1"/>
  <c r="E28" i="1" s="1"/>
  <c r="D27" i="1"/>
  <c r="E27" i="1" s="1" a="1"/>
  <c r="E27" i="1" s="1"/>
  <c r="D26" i="1"/>
  <c r="E26" i="1" s="1" a="1"/>
  <c r="E26" i="1" s="1"/>
  <c r="D25" i="1"/>
  <c r="E25" i="1" s="1" a="1"/>
  <c r="E25" i="1" s="1"/>
  <c r="D24" i="1"/>
  <c r="E24" i="1" s="1" a="1"/>
  <c r="E24" i="1" s="1"/>
  <c r="D34" i="1" l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E4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<sst xmlns="http://schemas.openxmlformats.org/spreadsheetml/2006/main" count="69" uniqueCount="33">
  <si>
    <t>CONFIGURAÇÕES</t>
  </si>
  <si>
    <t>Salário</t>
  </si>
  <si>
    <t>Rendimento Carteira</t>
  </si>
  <si>
    <t>Sugestão de Investimento</t>
  </si>
  <si>
    <t xml:space="preserve">INVESTIMENTO MENSAL </t>
  </si>
  <si>
    <t xml:space="preserve">Quanto investir por mês? </t>
  </si>
  <si>
    <t xml:space="preserve">Por quantos anos? </t>
  </si>
  <si>
    <t xml:space="preserve">Taxa de rendimento mensal? </t>
  </si>
  <si>
    <t xml:space="preserve">Patrimônio acumulado? </t>
  </si>
  <si>
    <t xml:space="preserve">Dividendos mensais? </t>
  </si>
  <si>
    <t xml:space="preserve">Cenários </t>
  </si>
  <si>
    <t>Dividendo</t>
  </si>
  <si>
    <t xml:space="preserve">Quanto em 2 anos? </t>
  </si>
  <si>
    <t xml:space="preserve">Quanto em 5 anos? </t>
  </si>
  <si>
    <t xml:space="preserve">Quanto em 10 anos? </t>
  </si>
  <si>
    <t xml:space="preserve">Quanto em 20 anos? </t>
  </si>
  <si>
    <t xml:space="preserve">Quanto em 30 anos? 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</si>
  <si>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</si>
  <si>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</si>
  <si>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</si>
  <si>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</si>
  <si>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</si>
  <si>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</si>
  <si>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</si>
  <si>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</si>
  <si>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</si>
  <si>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</si>
  <si>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</si>
  <si>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</si>
  <si>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 COMPOSTA</t>
  </si>
  <si>
    <t>CONSERVADOR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</si>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</sst>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ndara"/>
    </font>
    <font>
      <b/>
      <sz val="11"/>
      <color theme="1"/>
      <name val="Calibri"/>
      <family val="2"/>
      <scheme val="minor"/>
    </font>
    <font>
      <sz val="20"/>
      <color theme="0"/>
      <name val="Candara"/>
    </font>
    <font>
      <sz val="15"/>
      <color theme="0"/>
      <name val="Candara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Border="1"/>
    <xf numFmtId="0" fontId="1" fillId="0" borderId="0" xfId="0" applyFont="1"/>
    <xf numFmtId="0" fontId="0" fillId="3" borderId="0" xfId="0" applyFill="1"/>
    <xf numFmtId="0" fontId="2" fillId="4" borderId="0" xfId="0" applyFont="1" applyFill="1" applyBorder="1" applyAlignment="1">
      <alignment vertical="center"/>
    </xf>
    <xf numFmtId="0" fontId="3" fillId="0" borderId="0" xfId="0" applyFont="1"/>
    <xf numFmtId="0" fontId="0" fillId="0" borderId="0" xfId="0" applyFont="1"/>
    <xf numFmtId="8" fontId="0" fillId="0" borderId="3" xfId="0" applyNumberFormat="1" applyFont="1" applyBorder="1" applyAlignment="1">
      <alignment horizontal="center"/>
    </xf>
    <xf numFmtId="0" fontId="0" fillId="4" borderId="1" xfId="0" applyFont="1" applyFill="1" applyBorder="1" applyAlignment="1"/>
    <xf numFmtId="164" fontId="0" fillId="0" borderId="3" xfId="0" applyNumberFormat="1" applyFont="1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0" fillId="3" borderId="4" xfId="0" applyFont="1" applyFill="1" applyBorder="1" applyAlignment="1"/>
    <xf numFmtId="0" fontId="0" fillId="3" borderId="6" xfId="0" applyFont="1" applyFill="1" applyBorder="1" applyAlignment="1"/>
    <xf numFmtId="8" fontId="0" fillId="3" borderId="0" xfId="0" applyNumberFormat="1" applyFont="1" applyFill="1" applyBorder="1" applyAlignment="1">
      <alignment horizontal="center"/>
    </xf>
    <xf numFmtId="0" fontId="0" fillId="4" borderId="4" xfId="0" applyFont="1" applyFill="1" applyBorder="1" applyAlignment="1"/>
    <xf numFmtId="1" fontId="0" fillId="0" borderId="5" xfId="0" applyNumberFormat="1" applyFont="1" applyBorder="1" applyAlignment="1">
      <alignment horizontal="center"/>
    </xf>
    <xf numFmtId="10" fontId="0" fillId="0" borderId="5" xfId="0" applyNumberFormat="1" applyFont="1" applyBorder="1" applyAlignment="1">
      <alignment horizontal="center"/>
    </xf>
    <xf numFmtId="8" fontId="0" fillId="3" borderId="5" xfId="0" applyNumberFormat="1" applyFont="1" applyFill="1" applyBorder="1" applyAlignment="1">
      <alignment horizontal="center"/>
    </xf>
    <xf numFmtId="8" fontId="0" fillId="3" borderId="8" xfId="0" applyNumberFormat="1" applyFont="1" applyFill="1" applyBorder="1" applyAlignment="1">
      <alignment horizontal="center"/>
    </xf>
    <xf numFmtId="0" fontId="4" fillId="4" borderId="0" xfId="0" applyFont="1" applyFill="1" applyBorder="1" applyAlignment="1">
      <alignment vertical="center"/>
    </xf>
    <xf numFmtId="0" fontId="0" fillId="3" borderId="1" xfId="0" applyFill="1" applyBorder="1"/>
    <xf numFmtId="0" fontId="0" fillId="3" borderId="2" xfId="0" applyFill="1" applyBorder="1"/>
    <xf numFmtId="8" fontId="0" fillId="3" borderId="2" xfId="0" applyNumberFormat="1" applyFont="1" applyFill="1" applyBorder="1" applyAlignment="1">
      <alignment horizontal="center"/>
    </xf>
    <xf numFmtId="8" fontId="0" fillId="3" borderId="3" xfId="0" applyNumberFormat="1" applyFill="1" applyBorder="1" applyAlignment="1">
      <alignment horizontal="left"/>
    </xf>
    <xf numFmtId="0" fontId="0" fillId="3" borderId="4" xfId="0" applyFill="1" applyBorder="1"/>
    <xf numFmtId="0" fontId="0" fillId="3" borderId="0" xfId="0" applyFill="1" applyBorder="1"/>
    <xf numFmtId="8" fontId="0" fillId="3" borderId="5" xfId="0" applyNumberFormat="1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/>
    <xf numFmtId="8" fontId="0" fillId="3" borderId="7" xfId="0" applyNumberFormat="1" applyFont="1" applyFill="1" applyBorder="1" applyAlignment="1">
      <alignment horizontal="center"/>
    </xf>
    <xf numFmtId="8" fontId="0" fillId="3" borderId="8" xfId="0" applyNumberFormat="1" applyFill="1" applyBorder="1" applyAlignment="1">
      <alignment horizontal="left"/>
    </xf>
    <xf numFmtId="0" fontId="5" fillId="2" borderId="0" xfId="0" applyFont="1" applyFill="1" applyBorder="1" applyAlignment="1">
      <alignment vertical="center"/>
    </xf>
    <xf numFmtId="9" fontId="0" fillId="3" borderId="5" xfId="0" applyNumberFormat="1" applyFont="1" applyFill="1" applyBorder="1" applyAlignment="1">
      <alignment horizontal="center"/>
    </xf>
    <xf numFmtId="0" fontId="1" fillId="6" borderId="0" xfId="0" applyFont="1" applyFill="1"/>
    <xf numFmtId="0" fontId="0" fillId="6" borderId="0" xfId="0" applyFill="1"/>
    <xf numFmtId="0" fontId="6" fillId="0" borderId="0" xfId="0" applyFont="1"/>
    <xf numFmtId="0" fontId="7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left"/>
    </xf>
    <xf numFmtId="0" fontId="6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0" fontId="8" fillId="3" borderId="0" xfId="0" applyFont="1" applyFill="1"/>
    <xf numFmtId="164" fontId="3" fillId="3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Border="1" applyAlignment="1">
      <alignment horizontal="center"/>
    </xf>
    <xf numFmtId="0" fontId="6" fillId="0" borderId="0" xfId="0" applyFont="1" applyBorder="1"/>
    <xf numFmtId="9" fontId="0" fillId="0" borderId="9" xfId="0" applyNumberFormat="1" applyBorder="1" applyAlignment="1">
      <alignment horizontal="center"/>
    </xf>
    <xf numFmtId="0" fontId="0" fillId="0" borderId="9" xfId="0" applyBorder="1"/>
    <xf numFmtId="0" fontId="6" fillId="0" borderId="9" xfId="0" applyFont="1" applyBorder="1"/>
    <xf numFmtId="164" fontId="0" fillId="4" borderId="0" xfId="0" applyNumberFormat="1" applyFont="1" applyFill="1" applyBorder="1"/>
    <xf numFmtId="9" fontId="0" fillId="0" borderId="0" xfId="0" applyNumberFormat="1" applyBorder="1"/>
    <xf numFmtId="9" fontId="0" fillId="0" borderId="9" xfId="0" applyNumberFormat="1" applyBorder="1"/>
    <xf numFmtId="9" fontId="3" fillId="4" borderId="0" xfId="0" applyNumberFormat="1" applyFont="1" applyFill="1" applyBorder="1"/>
    <xf numFmtId="164" fontId="3" fillId="4" borderId="0" xfId="0" applyNumberFormat="1" applyFont="1" applyFill="1" applyAlignment="1">
      <alignment horizontal="center"/>
    </xf>
    <xf numFmtId="164" fontId="0" fillId="4" borderId="0" xfId="0" applyNumberFormat="1" applyFill="1" applyBorder="1"/>
    <xf numFmtId="0" fontId="0" fillId="4" borderId="0" xfId="0" applyFill="1" applyBorder="1"/>
    <xf numFmtId="0" fontId="0" fillId="4" borderId="0" xfId="0" applyFill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8" fillId="7" borderId="0" xfId="0" applyFont="1" applyFill="1"/>
    <xf numFmtId="0" fontId="4" fillId="2" borderId="7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95250</xdr:rowOff>
    </xdr:from>
    <xdr:to>
      <xdr:col>4</xdr:col>
      <xdr:colOff>1631950</xdr:colOff>
      <xdr:row>8</xdr:row>
      <xdr:rowOff>104775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29E272-D21C-9798-3B5A-79862F0A1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95250"/>
          <a:ext cx="5734050" cy="1482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showGridLines="0" showRowColHeaders="0" tabSelected="1" topLeftCell="A16" workbookViewId="0">
      <selection activeCell="F10" sqref="F10"/>
    </sheetView>
  </sheetViews>
  <sheetFormatPr defaultColWidth="0" defaultRowHeight="14.5" zeroHeight="1" x14ac:dyDescent="0.35"/>
  <cols>
    <col min="1" max="1" width="9.1796875" customWidth="1"/>
    <col min="2" max="2" width="16" customWidth="1"/>
    <col min="3" max="3" width="18.1796875" customWidth="1"/>
    <col min="4" max="4" width="23.81640625" customWidth="1"/>
    <col min="5" max="5" width="23.54296875" customWidth="1"/>
    <col min="6" max="6" width="13.54296875" customWidth="1"/>
    <col min="7" max="7" width="11.453125" hidden="1" customWidth="1"/>
    <col min="8" max="8" width="9.1796875" hidden="1" customWidth="1"/>
  </cols>
  <sheetData>
    <row r="1" spans="2:6" x14ac:dyDescent="0.35"/>
    <row r="2" spans="2:6" x14ac:dyDescent="0.35"/>
    <row r="3" spans="2:6" x14ac:dyDescent="0.35"/>
    <row r="4" spans="2:6" x14ac:dyDescent="0.35"/>
    <row r="5" spans="2:6" x14ac:dyDescent="0.35"/>
    <row r="6" spans="2:6" x14ac:dyDescent="0.35"/>
    <row r="7" spans="2:6" x14ac:dyDescent="0.35"/>
    <row r="8" spans="2:6" x14ac:dyDescent="0.35"/>
    <row r="9" spans="2:6" x14ac:dyDescent="0.35"/>
    <row r="10" spans="2:6" ht="26" x14ac:dyDescent="0.35">
      <c r="B10" s="69" t="s">
        <v>0</v>
      </c>
      <c r="C10" s="69"/>
      <c r="D10" s="69"/>
      <c r="E10" s="69"/>
    </row>
    <row r="11" spans="2:6" ht="15" customHeight="1" x14ac:dyDescent="0.35">
      <c r="B11" s="10" t="s">
        <v>1</v>
      </c>
      <c r="C11" s="67"/>
      <c r="D11" s="67"/>
      <c r="E11" s="7">
        <v>5000</v>
      </c>
    </row>
    <row r="12" spans="2:6" ht="15" customHeight="1" x14ac:dyDescent="0.35">
      <c r="B12" s="11" t="s">
        <v>2</v>
      </c>
      <c r="C12" s="65"/>
      <c r="D12" s="65"/>
      <c r="E12" s="32">
        <v>6.0000000000000001E-3</v>
      </c>
      <c r="F12" s="6"/>
    </row>
    <row r="13" spans="2:6" x14ac:dyDescent="0.35">
      <c r="B13" s="12" t="s">
        <v>3</v>
      </c>
      <c r="C13" s="66"/>
      <c r="D13" s="66"/>
      <c r="E13" s="18">
        <f>E11*30%</f>
        <v>1500</v>
      </c>
    </row>
    <row r="14" spans="2:6" x14ac:dyDescent="0.35"/>
    <row r="15" spans="2:6" ht="15" customHeight="1" x14ac:dyDescent="0.35">
      <c r="B15" s="68" t="s">
        <v>4</v>
      </c>
      <c r="C15" s="68"/>
      <c r="D15" s="68"/>
      <c r="E15" s="68"/>
    </row>
    <row r="16" spans="2:6" ht="15" customHeight="1" x14ac:dyDescent="0.35">
      <c r="B16" s="62"/>
      <c r="C16" s="62"/>
      <c r="D16" s="62"/>
      <c r="E16" s="62"/>
    </row>
    <row r="17" spans="1:9" ht="15" customHeight="1" x14ac:dyDescent="0.35">
      <c r="B17" s="8" t="s">
        <v>5</v>
      </c>
      <c r="C17" s="63"/>
      <c r="D17" s="63"/>
      <c r="E17" s="9">
        <v>500</v>
      </c>
      <c r="G17" s="6"/>
    </row>
    <row r="18" spans="1:9" x14ac:dyDescent="0.35">
      <c r="B18" s="14" t="s">
        <v>6</v>
      </c>
      <c r="C18" s="64"/>
      <c r="D18" s="64"/>
      <c r="E18" s="15">
        <v>5</v>
      </c>
    </row>
    <row r="19" spans="1:9" x14ac:dyDescent="0.35">
      <c r="B19" s="14" t="s">
        <v>7</v>
      </c>
      <c r="C19" s="64"/>
      <c r="D19" s="64"/>
      <c r="E19" s="16">
        <v>1.0789999999999999E-2</v>
      </c>
    </row>
    <row r="20" spans="1:9" x14ac:dyDescent="0.35">
      <c r="B20" s="11" t="s">
        <v>8</v>
      </c>
      <c r="C20" s="65"/>
      <c r="D20" s="65"/>
      <c r="E20" s="17" cm="1">
        <f t="array" ref="E20">FV(rend_mensal,tempo*12,aporte*-1)</f>
        <v>41888.456999243819</v>
      </c>
    </row>
    <row r="21" spans="1:9" x14ac:dyDescent="0.35">
      <c r="B21" s="12" t="s">
        <v>9</v>
      </c>
      <c r="C21" s="66"/>
      <c r="D21" s="66"/>
      <c r="E21" s="18" cm="1">
        <f t="array" ref="E21">patrimonio*rend_carteira</f>
        <v>251.33074199546292</v>
      </c>
    </row>
    <row r="22" spans="1:9" x14ac:dyDescent="0.35"/>
    <row r="23" spans="1:9" ht="26" x14ac:dyDescent="0.35">
      <c r="B23" s="62" t="s">
        <v>10</v>
      </c>
      <c r="C23" s="62"/>
      <c r="D23" s="62"/>
      <c r="E23" s="31" t="s">
        <v>11</v>
      </c>
    </row>
    <row r="24" spans="1:9" ht="15" customHeight="1" x14ac:dyDescent="0.35">
      <c r="A24" s="2">
        <v>2</v>
      </c>
      <c r="B24" s="20" t="s">
        <v>12</v>
      </c>
      <c r="C24" s="21"/>
      <c r="D24" s="22">
        <f>FV($E$19,$A$24*12,$E$17*-1)</f>
        <v>13613.813648822608</v>
      </c>
      <c r="E24" s="23" cm="1">
        <f t="array" ref="E24">D24*rend_carteira</f>
        <v>81.682881892935654</v>
      </c>
    </row>
    <row r="25" spans="1:9" x14ac:dyDescent="0.35">
      <c r="A25" s="2">
        <v>5</v>
      </c>
      <c r="B25" s="24" t="s">
        <v>13</v>
      </c>
      <c r="C25" s="25"/>
      <c r="D25" s="13">
        <f>FV($E$19,$A$25*12,$E$17*-1)</f>
        <v>41888.456999243819</v>
      </c>
      <c r="E25" s="26" cm="1">
        <f t="array" ref="E25">D25*rend_carteira</f>
        <v>251.33074199546292</v>
      </c>
      <c r="G25" s="1"/>
    </row>
    <row r="26" spans="1:9" ht="15" customHeight="1" x14ac:dyDescent="0.35">
      <c r="A26" s="2">
        <v>10</v>
      </c>
      <c r="B26" s="24" t="s">
        <v>14</v>
      </c>
      <c r="C26" s="25"/>
      <c r="D26" s="13">
        <f>FV($E$19,$A$26*12,$E$17*-1)</f>
        <v>121642.1062650861</v>
      </c>
      <c r="E26" s="26" cm="1">
        <f t="array" ref="E26">D26*rend_carteira</f>
        <v>729.85263759051657</v>
      </c>
      <c r="G26" s="19"/>
    </row>
    <row r="27" spans="1:9" ht="15" customHeight="1" x14ac:dyDescent="0.35">
      <c r="A27" s="2">
        <v>20</v>
      </c>
      <c r="B27" s="24" t="s">
        <v>15</v>
      </c>
      <c r="C27" s="25"/>
      <c r="D27" s="13">
        <f>FV($E$19,$A$27*12,$E$17*-1)</f>
        <v>562599.20004854025</v>
      </c>
      <c r="E27" s="26" cm="1">
        <f t="array" ref="E27">D27*rend_carteira</f>
        <v>3375.5952002912418</v>
      </c>
      <c r="G27" s="4"/>
    </row>
    <row r="28" spans="1:9" x14ac:dyDescent="0.35">
      <c r="A28" s="2">
        <v>30</v>
      </c>
      <c r="B28" s="27" t="s">
        <v>16</v>
      </c>
      <c r="C28" s="28"/>
      <c r="D28" s="29">
        <f>FV($E$19,$A$28*12,$E$17*-1)</f>
        <v>2161084.8275023573</v>
      </c>
      <c r="E28" s="30" cm="1">
        <f t="array" ref="E28">D28*rend_carteira</f>
        <v>12966.508965014144</v>
      </c>
      <c r="I28" s="3"/>
    </row>
    <row r="29" spans="1:9" x14ac:dyDescent="0.35">
      <c r="B29" s="2">
        <v>5</v>
      </c>
    </row>
    <row r="30" spans="1:9" x14ac:dyDescent="0.35">
      <c r="B30" s="33" t="s">
        <v>17</v>
      </c>
      <c r="C30" s="34"/>
      <c r="D30" s="34"/>
      <c r="E30" s="33" t="s">
        <v>18</v>
      </c>
    </row>
    <row r="31" spans="1:9" x14ac:dyDescent="0.35">
      <c r="B31" s="36" t="s">
        <v>19</v>
      </c>
      <c r="C31" s="5"/>
      <c r="D31" s="5"/>
      <c r="E31" s="39" cm="1">
        <f t="array" ref="E31">aporte</f>
        <v>500</v>
      </c>
    </row>
    <row r="32" spans="1:9" x14ac:dyDescent="0.35">
      <c r="B32" s="2"/>
      <c r="E32" s="38"/>
    </row>
    <row r="33" spans="2:5" x14ac:dyDescent="0.35">
      <c r="B33" s="43" t="s">
        <v>20</v>
      </c>
      <c r="C33" s="41"/>
      <c r="D33" s="41" t="s">
        <v>21</v>
      </c>
      <c r="E33" s="44" t="s">
        <v>22</v>
      </c>
    </row>
    <row r="34" spans="2:5" x14ac:dyDescent="0.35">
      <c r="B34" s="35" t="s">
        <v>23</v>
      </c>
      <c r="D34" s="45">
        <f>VLOOKUP($E$30&amp;"-"&amp;B34,Tabela_Apoio!$A:$D,4,FALSE)</f>
        <v>0.5</v>
      </c>
      <c r="E34" s="37">
        <f>$E$31*D34</f>
        <v>250</v>
      </c>
    </row>
    <row r="35" spans="2:5" x14ac:dyDescent="0.35">
      <c r="B35" s="35" t="s">
        <v>24</v>
      </c>
      <c r="D35" s="45">
        <f>VLOOKUP($E$30&amp;"-"&amp;B35,Tabela_Apoio!$A:$D,4,FALSE)</f>
        <v>0.1</v>
      </c>
      <c r="E35" s="37">
        <f t="shared" ref="E35:E39" si="0">$E$31*D35</f>
        <v>50</v>
      </c>
    </row>
    <row r="36" spans="2:5" x14ac:dyDescent="0.35">
      <c r="B36" s="35" t="s">
        <v>25</v>
      </c>
      <c r="D36" s="45">
        <f>VLOOKUP($E$30&amp;"-"&amp;B36,Tabela_Apoio!$A:$D,4,FALSE)</f>
        <v>0.05</v>
      </c>
      <c r="E36" s="37">
        <f t="shared" si="0"/>
        <v>25</v>
      </c>
    </row>
    <row r="37" spans="2:5" x14ac:dyDescent="0.35">
      <c r="B37" s="35" t="s">
        <v>26</v>
      </c>
      <c r="D37" s="45">
        <f>VLOOKUP($E$30&amp;"-"&amp;B37,Tabela_Apoio!$A:$D,4,FALSE)</f>
        <v>0.05</v>
      </c>
      <c r="E37" s="37">
        <f t="shared" si="0"/>
        <v>25</v>
      </c>
    </row>
    <row r="38" spans="2:5" x14ac:dyDescent="0.35">
      <c r="B38" s="35" t="s">
        <v>27</v>
      </c>
      <c r="D38" s="45">
        <f>VLOOKUP($E$30&amp;"-"&amp;B38,Tabela_Apoio!$A:$D,4,FALSE)</f>
        <v>0.2</v>
      </c>
      <c r="E38" s="37">
        <f t="shared" si="0"/>
        <v>100</v>
      </c>
    </row>
    <row r="39" spans="2:5" x14ac:dyDescent="0.35">
      <c r="B39" s="35" t="s">
        <v>28</v>
      </c>
      <c r="D39" s="45">
        <f>VLOOKUP($E$30&amp;"-"&amp;B39,Tabela_Apoio!$A:$D,4,FALSE)</f>
        <v>0.1</v>
      </c>
      <c r="E39" s="37">
        <f t="shared" si="0"/>
        <v>50</v>
      </c>
    </row>
    <row r="40" spans="2:5" x14ac:dyDescent="0.35">
      <c r="B40" s="40"/>
      <c r="C40" s="41"/>
      <c r="D40" s="41"/>
      <c r="E40" s="42">
        <f>SUM(E34:E39)</f>
        <v>500</v>
      </c>
    </row>
    <row r="41" spans="2:5" x14ac:dyDescent="0.35">
      <c r="B41" s="2"/>
    </row>
    <row r="42" spans="2:5" x14ac:dyDescent="0.35">
      <c r="B42" s="2"/>
    </row>
    <row r="43" spans="2:5" x14ac:dyDescent="0.35">
      <c r="B43" s="2"/>
    </row>
    <row r="44" spans="2:5" hidden="1" x14ac:dyDescent="0.35">
      <c r="B44" s="2">
        <v>10</v>
      </c>
    </row>
    <row r="45" spans="2:5" hidden="1" x14ac:dyDescent="0.35">
      <c r="B45" s="2">
        <v>20</v>
      </c>
    </row>
    <row r="46" spans="2:5" hidden="1" x14ac:dyDescent="0.35">
      <c r="B46" s="2">
        <v>30</v>
      </c>
    </row>
  </sheetData>
  <mergeCells count="11">
    <mergeCell ref="C11:D11"/>
    <mergeCell ref="C12:D12"/>
    <mergeCell ref="C13:D13"/>
    <mergeCell ref="B15:E16"/>
    <mergeCell ref="B10:E10"/>
    <mergeCell ref="B23:D23"/>
    <mergeCell ref="C17:D17"/>
    <mergeCell ref="C18:D18"/>
    <mergeCell ref="C19:D19"/>
    <mergeCell ref="C20:D20"/>
    <mergeCell ref="C21:D21"/>
  </mergeCells>
  <dataValidations count="1">
    <dataValidation type="list" allowBlank="1" showInputMessage="1" showErrorMessage="1" sqref="E30" xr:uid="{959F668A-964D-47AA-BB2F-0F13C34D5B8F}">
      <formula1>"Moderado, Conservador,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47F1-9EC4-4CF4-A262-E14F8A65A319}">
  <dimension ref="A2:F28"/>
  <sheetViews>
    <sheetView workbookViewId="0">
      <selection activeCell="A2" sqref="A2"/>
    </sheetView>
  </sheetViews>
  <sheetFormatPr defaultRowHeight="14.5" x14ac:dyDescent="0.35"/>
  <cols>
    <col min="1" max="1" width="34.7265625" customWidth="1"/>
    <col min="2" max="3" width="19.26953125" bestFit="1" customWidth="1"/>
    <col min="4" max="4" width="23.1796875" bestFit="1" customWidth="1"/>
    <col min="5" max="5" width="34" bestFit="1" customWidth="1"/>
    <col min="6" max="6" width="9.26953125" bestFit="1" customWidth="1"/>
  </cols>
  <sheetData>
    <row r="2" spans="1:6" x14ac:dyDescent="0.35">
      <c r="A2" s="59" t="s">
        <v>29</v>
      </c>
      <c r="B2" s="60" t="s">
        <v>17</v>
      </c>
      <c r="C2" s="61" t="s">
        <v>20</v>
      </c>
      <c r="D2" s="41" t="s">
        <v>21</v>
      </c>
      <c r="F2" s="55"/>
    </row>
    <row r="3" spans="1:6" x14ac:dyDescent="0.35">
      <c r="A3" s="46" t="str">
        <f t="shared" ref="A3:A8" si="0">$B$3&amp;"-"&amp;C3</f>
        <v>CONSERVADOR-PAPEL</v>
      </c>
      <c r="B3" s="1" t="s">
        <v>30</v>
      </c>
      <c r="C3" s="47" t="s">
        <v>23</v>
      </c>
      <c r="D3" s="52">
        <v>0.3</v>
      </c>
      <c r="F3" s="56"/>
    </row>
    <row r="4" spans="1:6" x14ac:dyDescent="0.35">
      <c r="A4" s="46" t="str">
        <f t="shared" si="0"/>
        <v>CONSERVADOR-TIJOLO</v>
      </c>
      <c r="B4" s="1" t="s">
        <v>30</v>
      </c>
      <c r="C4" s="47" t="s">
        <v>24</v>
      </c>
      <c r="D4" s="52">
        <v>0.5</v>
      </c>
      <c r="F4" s="56"/>
    </row>
    <row r="5" spans="1:6" x14ac:dyDescent="0.35">
      <c r="A5" s="46" t="str">
        <f t="shared" si="0"/>
        <v>CONSERVADOR-HÍBRIDOS</v>
      </c>
      <c r="B5" s="1" t="s">
        <v>30</v>
      </c>
      <c r="C5" s="47" t="s">
        <v>25</v>
      </c>
      <c r="D5" s="52">
        <v>0.1</v>
      </c>
      <c r="F5" s="56"/>
    </row>
    <row r="6" spans="1:6" x14ac:dyDescent="0.35">
      <c r="A6" s="46" t="str">
        <f t="shared" si="0"/>
        <v>CONSERVADOR-FOFs</v>
      </c>
      <c r="B6" s="1" t="s">
        <v>30</v>
      </c>
      <c r="C6" s="47" t="s">
        <v>26</v>
      </c>
      <c r="D6" s="52">
        <v>0.1</v>
      </c>
      <c r="F6" s="56"/>
    </row>
    <row r="7" spans="1:6" x14ac:dyDescent="0.35">
      <c r="A7" s="46" t="str">
        <f t="shared" si="0"/>
        <v>CONSERVADOR-DESENVOLVIMENTO</v>
      </c>
      <c r="B7" s="1" t="s">
        <v>30</v>
      </c>
      <c r="C7" s="47" t="s">
        <v>27</v>
      </c>
      <c r="D7" s="52">
        <v>0</v>
      </c>
      <c r="F7" s="56"/>
    </row>
    <row r="8" spans="1:6" x14ac:dyDescent="0.35">
      <c r="A8" s="48" t="str">
        <f t="shared" si="0"/>
        <v>CONSERVADOR-HOTELARIAS</v>
      </c>
      <c r="B8" s="49" t="s">
        <v>30</v>
      </c>
      <c r="C8" s="50" t="s">
        <v>28</v>
      </c>
      <c r="D8" s="53">
        <v>0</v>
      </c>
      <c r="F8" s="56"/>
    </row>
    <row r="9" spans="1:6" x14ac:dyDescent="0.35">
      <c r="A9" s="46" t="str">
        <f>$B$9&amp;"-"&amp;C9</f>
        <v>MODERADO-PAPEL</v>
      </c>
      <c r="B9" s="1" t="s">
        <v>31</v>
      </c>
      <c r="C9" s="47" t="s">
        <v>23</v>
      </c>
      <c r="D9" s="54">
        <v>0.32</v>
      </c>
      <c r="F9" s="51"/>
    </row>
    <row r="10" spans="1:6" x14ac:dyDescent="0.35">
      <c r="A10" s="46" t="str">
        <f t="shared" ref="A10:A14" si="1">$B$9&amp;"-"&amp;C10</f>
        <v>MODERADO-TIJOLO</v>
      </c>
      <c r="B10" s="1" t="s">
        <v>31</v>
      </c>
      <c r="C10" s="47" t="s">
        <v>24</v>
      </c>
      <c r="D10" s="52">
        <v>0.35</v>
      </c>
      <c r="F10" s="57"/>
    </row>
    <row r="11" spans="1:6" x14ac:dyDescent="0.35">
      <c r="A11" s="46" t="str">
        <f t="shared" si="1"/>
        <v>MODERADO-HÍBRIDOS</v>
      </c>
      <c r="B11" s="1" t="s">
        <v>31</v>
      </c>
      <c r="C11" s="47" t="s">
        <v>25</v>
      </c>
      <c r="D11" s="52">
        <v>0.08</v>
      </c>
      <c r="F11" s="57"/>
    </row>
    <row r="12" spans="1:6" x14ac:dyDescent="0.35">
      <c r="A12" s="46" t="str">
        <f t="shared" si="1"/>
        <v>MODERADO-FOFs</v>
      </c>
      <c r="B12" s="1" t="s">
        <v>31</v>
      </c>
      <c r="C12" s="47" t="s">
        <v>26</v>
      </c>
      <c r="D12" s="52">
        <v>0.05</v>
      </c>
      <c r="F12" s="57"/>
    </row>
    <row r="13" spans="1:6" x14ac:dyDescent="0.35">
      <c r="A13" s="46" t="str">
        <f t="shared" si="1"/>
        <v>MODERADO-DESENVOLVIMENTO</v>
      </c>
      <c r="B13" s="1" t="s">
        <v>31</v>
      </c>
      <c r="C13" s="47" t="s">
        <v>27</v>
      </c>
      <c r="D13" s="52">
        <v>0.1</v>
      </c>
      <c r="F13" s="57"/>
    </row>
    <row r="14" spans="1:6" x14ac:dyDescent="0.35">
      <c r="A14" s="48" t="str">
        <f t="shared" si="1"/>
        <v>MODERADO-HOTELARIAS</v>
      </c>
      <c r="B14" s="49" t="s">
        <v>31</v>
      </c>
      <c r="C14" s="50" t="s">
        <v>28</v>
      </c>
      <c r="D14" s="53">
        <v>0.1</v>
      </c>
      <c r="F14" s="57"/>
    </row>
    <row r="15" spans="1:6" x14ac:dyDescent="0.35">
      <c r="A15" s="46" t="str">
        <f>$B$15&amp;"-"&amp;C15</f>
        <v>AGRESSIVO-PAPEL</v>
      </c>
      <c r="B15" s="1" t="s">
        <v>32</v>
      </c>
      <c r="C15" s="47" t="s">
        <v>23</v>
      </c>
      <c r="D15" s="52">
        <v>0.5</v>
      </c>
      <c r="F15" s="57"/>
    </row>
    <row r="16" spans="1:6" x14ac:dyDescent="0.35">
      <c r="A16" s="46" t="str">
        <f t="shared" ref="A16:A20" si="2">$B$15&amp;"-"&amp;C16</f>
        <v>AGRESSIVO-TIJOLO</v>
      </c>
      <c r="B16" s="1" t="s">
        <v>32</v>
      </c>
      <c r="C16" s="47" t="s">
        <v>24</v>
      </c>
      <c r="D16" s="52">
        <v>0.1</v>
      </c>
      <c r="F16" s="57"/>
    </row>
    <row r="17" spans="1:6" x14ac:dyDescent="0.35">
      <c r="A17" s="46" t="str">
        <f t="shared" si="2"/>
        <v>AGRESSIVO-HÍBRIDOS</v>
      </c>
      <c r="B17" s="1" t="s">
        <v>32</v>
      </c>
      <c r="C17" s="47" t="s">
        <v>25</v>
      </c>
      <c r="D17" s="52">
        <v>0.05</v>
      </c>
      <c r="F17" s="57"/>
    </row>
    <row r="18" spans="1:6" x14ac:dyDescent="0.35">
      <c r="A18" s="46" t="str">
        <f t="shared" si="2"/>
        <v>AGRESSIVO-FOFs</v>
      </c>
      <c r="B18" s="1" t="s">
        <v>32</v>
      </c>
      <c r="C18" s="47" t="s">
        <v>26</v>
      </c>
      <c r="D18" s="52">
        <v>0.05</v>
      </c>
      <c r="F18" s="57"/>
    </row>
    <row r="19" spans="1:6" x14ac:dyDescent="0.35">
      <c r="A19" s="46" t="str">
        <f t="shared" si="2"/>
        <v>AGRESSIVO-DESENVOLVIMENTO</v>
      </c>
      <c r="B19" s="1" t="s">
        <v>32</v>
      </c>
      <c r="C19" s="47" t="s">
        <v>27</v>
      </c>
      <c r="D19" s="52">
        <v>0.2</v>
      </c>
      <c r="F19" s="57"/>
    </row>
    <row r="20" spans="1:6" x14ac:dyDescent="0.35">
      <c r="A20" s="48" t="str">
        <f t="shared" si="2"/>
        <v>AGRESSIVO-HOTELARIAS</v>
      </c>
      <c r="B20" s="49" t="s">
        <v>32</v>
      </c>
      <c r="C20" s="50" t="s">
        <v>28</v>
      </c>
      <c r="D20" s="53">
        <v>0.1</v>
      </c>
      <c r="F20" s="57"/>
    </row>
    <row r="21" spans="1:6" x14ac:dyDescent="0.35">
      <c r="F21" s="57"/>
    </row>
    <row r="22" spans="1:6" x14ac:dyDescent="0.35">
      <c r="F22" s="57"/>
    </row>
    <row r="23" spans="1:6" x14ac:dyDescent="0.35">
      <c r="F23" s="58"/>
    </row>
    <row r="24" spans="1:6" x14ac:dyDescent="0.35">
      <c r="F24" s="58"/>
    </row>
    <row r="25" spans="1:6" x14ac:dyDescent="0.35">
      <c r="F25" s="58"/>
    </row>
    <row r="26" spans="1:6" x14ac:dyDescent="0.35">
      <c r="F26" s="58"/>
    </row>
    <row r="27" spans="1:6" x14ac:dyDescent="0.35">
      <c r="F27" s="58"/>
    </row>
    <row r="28" spans="1:6" x14ac:dyDescent="0.35">
      <c r="F28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Simulador Fundo_Investimentos</vt:lpstr>
      <vt:lpstr>Tabela_Apoio</vt:lpstr>
      <vt:lpstr>aporte</vt:lpstr>
      <vt:lpstr>div_mensais</vt:lpstr>
      <vt:lpstr>patrimonio</vt:lpstr>
      <vt:lpstr>rend_carteira</vt:lpstr>
      <vt:lpstr>rend_mensal</vt:lpstr>
      <vt:lpstr>salario</vt:lpstr>
      <vt:lpstr>sug_inves</vt:lpstr>
      <vt:lpstr>tempo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Victor Tchiya Soares</cp:lastModifiedBy>
  <cp:revision/>
  <dcterms:created xsi:type="dcterms:W3CDTF">2026-10-07T02:19:00Z</dcterms:created>
  <dcterms:modified xsi:type="dcterms:W3CDTF">2026-10-08T02:19:29Z</dcterms:modified>
  <cp:category/>
  <cp:contentStatus/>
</cp:coreProperties>
</file>